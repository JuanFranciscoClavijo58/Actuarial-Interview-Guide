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rchivos\Exercise 3\"/>
    </mc:Choice>
  </mc:AlternateContent>
  <xr:revisionPtr revIDLastSave="0" documentId="13_ncr:1_{BA64499F-E6AB-4DBB-9C00-9A585DE0CB41}" xr6:coauthVersionLast="47" xr6:coauthVersionMax="47" xr10:uidLastSave="{00000000-0000-0000-0000-000000000000}"/>
  <bookViews>
    <workbookView xWindow="-108" yWindow="-108" windowWidth="23256" windowHeight="12456" xr2:uid="{92CD0FC3-F4D6-466E-93EB-5722EFDF702A}"/>
  </bookViews>
  <sheets>
    <sheet name="datos_desarrollo" sheetId="2" r:id="rId1"/>
  </sheets>
  <definedNames>
    <definedName name="DatosExternos_1" localSheetId="0" hidden="1">datos_desarrollo!$A$1:$F$6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2" l="1"/>
  <c r="Q11" i="2" s="1"/>
  <c r="R11" i="2" s="1"/>
  <c r="K14" i="2"/>
  <c r="O15" i="2"/>
  <c r="N15" i="2"/>
  <c r="R10" i="2"/>
  <c r="Q10" i="2"/>
  <c r="P10" i="2"/>
  <c r="O10" i="2" a="1"/>
  <c r="O10" i="2" s="1"/>
  <c r="N10" i="2" a="1"/>
  <c r="N10" i="2" s="1"/>
  <c r="J14" i="2"/>
  <c r="L10" i="2"/>
  <c r="K11" i="2"/>
  <c r="K10" i="2"/>
  <c r="J11" i="2"/>
  <c r="J12" i="2"/>
  <c r="J10" i="2"/>
  <c r="I14" i="2"/>
  <c r="I10" i="2"/>
  <c r="I11" i="2"/>
  <c r="I12" i="2"/>
  <c r="I13" i="2"/>
  <c r="I18" i="2"/>
  <c r="J17" i="2"/>
  <c r="K17" i="2"/>
  <c r="L17" i="2"/>
  <c r="M17" i="2"/>
  <c r="I17" i="2"/>
  <c r="M15" i="2"/>
  <c r="L15" i="2"/>
  <c r="K15" i="2"/>
  <c r="J15" i="2"/>
  <c r="I15" i="2"/>
  <c r="I9" i="2"/>
  <c r="J9" i="2"/>
  <c r="K9" i="2"/>
  <c r="L9" i="2"/>
  <c r="L8" i="2"/>
  <c r="K8" i="2"/>
  <c r="J8" i="2"/>
  <c r="I8" i="2"/>
  <c r="K3" i="2"/>
  <c r="J3" i="2"/>
  <c r="J4" i="2"/>
  <c r="I3" i="2"/>
  <c r="I4" i="2"/>
  <c r="I5" i="2"/>
  <c r="J2" i="2"/>
  <c r="K2" i="2"/>
  <c r="L2" i="2"/>
  <c r="I2" i="2"/>
  <c r="P14" i="2" l="1"/>
  <c r="Q14" i="2" s="1"/>
  <c r="R14" i="2" s="1"/>
  <c r="P12" i="2"/>
  <c r="Q12" i="2" s="1"/>
  <c r="R12" i="2" s="1"/>
  <c r="P13" i="2"/>
  <c r="Q13" i="2" s="1"/>
  <c r="R13" i="2" s="1"/>
  <c r="P15" i="2" l="1"/>
  <c r="Q15" i="2" s="1"/>
  <c r="R15" i="2" s="1"/>
  <c r="Q17" i="2" l="1"/>
  <c r="Q18" i="2" s="1"/>
  <c r="Q22" i="2" s="1"/>
  <c r="Q2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0F921A-0AC6-4F40-89D9-4CD3CAF69287}" keepAlive="1" name="Consulta - datos_desarrollo" description="Conexión a la consulta 'datos_desarrollo' en el libro." type="5" refreshedVersion="8" background="1" saveData="1">
    <dbPr connection="Provider=Microsoft.Mashup.OleDb.1;Data Source=$Workbook$;Location=datos_desarrollo;Extended Properties=&quot;&quot;" command="SELECT * FROM [datos_desarrollo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<sst xmlns="http://schemas.openxmlformats.org/spreadsheetml/2006/main" count="33" uniqueCount="24">
  <si>
    <t>Año</t>
  </si>
  <si>
    <t>Dev 1</t>
  </si>
  <si>
    <t>Dev 2</t>
  </si>
  <si>
    <t>Dev 3</t>
  </si>
  <si>
    <t>Dev 4</t>
  </si>
  <si>
    <t>Dev 5</t>
  </si>
  <si>
    <t>NA</t>
  </si>
  <si>
    <t>DF</t>
  </si>
  <si>
    <t>CDF</t>
  </si>
  <si>
    <t>diff</t>
  </si>
  <si>
    <t>IBNR</t>
  </si>
  <si>
    <t>MSE de Mack</t>
  </si>
  <si>
    <t>Reserva IBNR</t>
  </si>
  <si>
    <t>Siniestro Último</t>
  </si>
  <si>
    <t>Error Estándar</t>
  </si>
  <si>
    <t>Coeficiente de Variacion(CV) (%)</t>
  </si>
  <si>
    <t>Ultimate</t>
  </si>
  <si>
    <t>Diagonal</t>
  </si>
  <si>
    <t>L Inferior</t>
  </si>
  <si>
    <t>L Superior</t>
  </si>
  <si>
    <t>Limites al 95%</t>
  </si>
  <si>
    <t>&lt;-Volatilidad</t>
  </si>
  <si>
    <t>&lt;- media de datos</t>
  </si>
  <si>
    <t>Riesgo Relativo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</si>
</sst>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0"/>
    <numFmt numFmtId="170" formatCode="0.00000000"/>
    <numFmt numFmtId="180" formatCode="0.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/>
    <xf numFmtId="3" fontId="0" fillId="0" borderId="0" xfId="0" applyNumberFormat="1"/>
    <xf numFmtId="167" fontId="0" fillId="0" borderId="0" xfId="0" applyNumberFormat="1"/>
    <xf numFmtId="3" fontId="0" fillId="2" borderId="2" xfId="0" applyNumberFormat="1" applyFont="1" applyFill="1" applyBorder="1"/>
    <xf numFmtId="3" fontId="0" fillId="0" borderId="1" xfId="0" applyNumberFormat="1" applyFont="1" applyBorder="1"/>
    <xf numFmtId="3" fontId="0" fillId="2" borderId="1" xfId="0" applyNumberFormat="1" applyFont="1" applyFill="1" applyBorder="1"/>
    <xf numFmtId="0" fontId="0" fillId="3" borderId="0" xfId="0" applyFill="1"/>
    <xf numFmtId="170" fontId="0" fillId="3" borderId="3" xfId="0" applyNumberFormat="1" applyFill="1" applyBorder="1"/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170" fontId="0" fillId="4" borderId="3" xfId="0" applyNumberFormat="1" applyFill="1" applyBorder="1"/>
    <xf numFmtId="180" fontId="0" fillId="0" borderId="0" xfId="1" applyNumberFormat="1" applyFont="1"/>
    <xf numFmtId="0" fontId="0" fillId="5" borderId="0" xfId="0" applyFill="1"/>
    <xf numFmtId="0" fontId="0" fillId="6" borderId="0" xfId="0" applyFill="1"/>
    <xf numFmtId="0" fontId="2" fillId="0" borderId="0" xfId="0" applyFont="1"/>
    <xf numFmtId="3" fontId="0" fillId="7" borderId="0" xfId="0" applyNumberFormat="1" applyFill="1"/>
    <xf numFmtId="0" fontId="0" fillId="0" borderId="0" xfId="1" applyNumberFormat="1" applyFont="1"/>
  </cellXfs>
  <cellStyles count="2">
    <cellStyle name="Normal" xfId="0" builtinId="0"/>
    <cellStyle name="Porcentaje" xfId="1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312420</xdr:colOff>
      <xdr:row>0</xdr:row>
      <xdr:rowOff>99060</xdr:rowOff>
    </xdr:from>
    <xdr:to>
      <xdr:col>17</xdr:col>
      <xdr:colOff>1837111</xdr:colOff>
      <xdr:row>6</xdr:row>
      <xdr:rowOff>135413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B34ACD-9AE6-0B1C-A886-F17364054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4840" y="99060"/>
          <a:ext cx="4953691" cy="1133633"/>
        </a:xfrm>
        <a:prstGeom prst="rect">
          <a:avLst/>
        </a:prstGeom>
      </xdr:spPr>
    </xdr:pic>
    <xdr:clientData/>
  </xdr:twoCellAnchor>
  <xdr:oneCellAnchor>
    <xdr:from>
      <xdr:col>13</xdr:col>
      <xdr:colOff>160020</xdr:colOff>
      <xdr:row>7</xdr:row>
      <xdr:rowOff>3810</xdr:rowOff>
    </xdr:from>
    <xdr:ext cx="586740" cy="24003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75F5A44A-3B0F-F4EE-4586-FD257F0C54BB}"/>
                </a:ext>
              </a:extLst>
            </xdr:cNvPr>
            <xdr:cNvSpPr txBox="1"/>
          </xdr:nvSpPr>
          <xdr:spPr>
            <a:xfrm>
              <a:off x="8092440" y="1283970"/>
              <a:ext cx="586740" cy="2400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</m:acc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75F5A44A-3B0F-F4EE-4586-FD257F0C54BB}"/>
                </a:ext>
              </a:extLst>
            </xdr:cNvPr>
            <xdr:cNvSpPr txBox="1"/>
          </xdr:nvSpPr>
          <xdr:spPr>
            <a:xfrm>
              <a:off x="8092440" y="1283970"/>
              <a:ext cx="586740" cy="2400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̂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𝑖,𝑛</a:t>
              </a:r>
              <a:r>
                <a:rPr lang="es-CO" sz="1100" b="0" i="0">
                  <a:latin typeface="Cambria Math" panose="02040503050406030204" pitchFamily="18" charset="0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259080</xdr:colOff>
      <xdr:row>12</xdr:row>
      <xdr:rowOff>179070</xdr:rowOff>
    </xdr:from>
    <xdr:ext cx="230319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3823AF62-7B39-23D6-8453-E039559529A0}"/>
                </a:ext>
              </a:extLst>
            </xdr:cNvPr>
            <xdr:cNvSpPr txBox="1"/>
          </xdr:nvSpPr>
          <xdr:spPr>
            <a:xfrm>
              <a:off x="3368040" y="2373630"/>
              <a:ext cx="230319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b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𝑘</m:t>
                            </m:r>
                          </m:sub>
                        </m:sSub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3823AF62-7B39-23D6-8453-E039559529A0}"/>
                </a:ext>
              </a:extLst>
            </xdr:cNvPr>
            <xdr:cNvSpPr txBox="1"/>
          </xdr:nvSpPr>
          <xdr:spPr>
            <a:xfrm>
              <a:off x="3368040" y="2373630"/>
              <a:ext cx="230319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s-MX" sz="1100" b="0" i="0">
                  <a:latin typeface="Cambria Math" panose="02040503050406030204" pitchFamily="18" charset="0"/>
                </a:rPr>
                <a:t>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373380</xdr:colOff>
      <xdr:row>7</xdr:row>
      <xdr:rowOff>11430</xdr:rowOff>
    </xdr:from>
    <xdr:ext cx="153054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CEAD5175-8D1C-1E19-D5AC-D2CF4C8367D3}"/>
                </a:ext>
              </a:extLst>
            </xdr:cNvPr>
            <xdr:cNvSpPr txBox="1"/>
          </xdr:nvSpPr>
          <xdr:spPr>
            <a:xfrm>
              <a:off x="2689860" y="1291590"/>
              <a:ext cx="15305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CEAD5175-8D1C-1E19-D5AC-D2CF4C8367D3}"/>
                </a:ext>
              </a:extLst>
            </xdr:cNvPr>
            <xdr:cNvSpPr txBox="1"/>
          </xdr:nvSpPr>
          <xdr:spPr>
            <a:xfrm>
              <a:off x="2689860" y="1291590"/>
              <a:ext cx="15305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</a:t>
              </a:r>
              <a:r>
                <a:rPr lang="es-CO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182880</xdr:colOff>
      <xdr:row>7</xdr:row>
      <xdr:rowOff>3810</xdr:rowOff>
    </xdr:from>
    <xdr:ext cx="32104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3D79A7A6-0ED9-6B6A-9380-8754BF018AD6}"/>
                </a:ext>
              </a:extLst>
            </xdr:cNvPr>
            <xdr:cNvSpPr txBox="1"/>
          </xdr:nvSpPr>
          <xdr:spPr>
            <a:xfrm>
              <a:off x="9837420" y="1283970"/>
              <a:ext cx="32104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𝑚𝑠𝑒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3D79A7A6-0ED9-6B6A-9380-8754BF018AD6}"/>
                </a:ext>
              </a:extLst>
            </xdr:cNvPr>
            <xdr:cNvSpPr txBox="1"/>
          </xdr:nvSpPr>
          <xdr:spPr>
            <a:xfrm>
              <a:off x="9837420" y="1283970"/>
              <a:ext cx="32104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𝑚𝑠𝑒</a:t>
              </a:r>
              <a:r>
                <a:rPr lang="es-CO" sz="1100" b="0" i="0">
                  <a:latin typeface="Cambria Math" panose="02040503050406030204" pitchFamily="18" charset="0"/>
                </a:rPr>
                <a:t>〗_</a:t>
              </a:r>
              <a:r>
                <a:rPr lang="es-MX" sz="1100" b="0" i="0">
                  <a:latin typeface="Cambria Math" panose="02040503050406030204" pitchFamily="18" charset="0"/>
                </a:rPr>
                <a:t>𝑖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16</xdr:col>
      <xdr:colOff>297180</xdr:colOff>
      <xdr:row>7</xdr:row>
      <xdr:rowOff>3810</xdr:rowOff>
    </xdr:from>
    <xdr:ext cx="16453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3A9A64CC-5E6A-6981-8EB2-57EDC5E2C26B}"/>
                </a:ext>
              </a:extLst>
            </xdr:cNvPr>
            <xdr:cNvSpPr txBox="1"/>
          </xdr:nvSpPr>
          <xdr:spPr>
            <a:xfrm>
              <a:off x="10744200" y="1283970"/>
              <a:ext cx="1645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𝑠𝑒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3A9A64CC-5E6A-6981-8EB2-57EDC5E2C26B}"/>
                </a:ext>
              </a:extLst>
            </xdr:cNvPr>
            <xdr:cNvSpPr txBox="1"/>
          </xdr:nvSpPr>
          <xdr:spPr>
            <a:xfrm>
              <a:off x="10744200" y="1283970"/>
              <a:ext cx="1645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𝑠𝑒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320040</xdr:colOff>
      <xdr:row>16</xdr:row>
      <xdr:rowOff>3810</xdr:rowOff>
    </xdr:from>
    <xdr:ext cx="271741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806457E-2C61-420C-B801-AA02F7C92FEA}"/>
                </a:ext>
              </a:extLst>
            </xdr:cNvPr>
            <xdr:cNvSpPr txBox="1"/>
          </xdr:nvSpPr>
          <xdr:spPr>
            <a:xfrm>
              <a:off x="9974580" y="2929890"/>
              <a:ext cx="271741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𝑙𝑜𝑔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806457E-2C61-420C-B801-AA02F7C92FEA}"/>
                </a:ext>
              </a:extLst>
            </xdr:cNvPr>
            <xdr:cNvSpPr txBox="1"/>
          </xdr:nvSpPr>
          <xdr:spPr>
            <a:xfrm>
              <a:off x="9974580" y="2929890"/>
              <a:ext cx="271741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𝑙𝑜𝑔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297180</xdr:colOff>
      <xdr:row>17</xdr:row>
      <xdr:rowOff>3810</xdr:rowOff>
    </xdr:from>
    <xdr:ext cx="27616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34956A7B-83B4-DB99-A077-020A17143E8A}"/>
                </a:ext>
              </a:extLst>
            </xdr:cNvPr>
            <xdr:cNvSpPr txBox="1"/>
          </xdr:nvSpPr>
          <xdr:spPr>
            <a:xfrm>
              <a:off x="9951720" y="3112770"/>
              <a:ext cx="27616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34956A7B-83B4-DB99-A077-020A17143E8A}"/>
                </a:ext>
              </a:extLst>
            </xdr:cNvPr>
            <xdr:cNvSpPr txBox="1"/>
          </xdr:nvSpPr>
          <xdr:spPr>
            <a:xfrm>
              <a:off x="9951720" y="3112770"/>
              <a:ext cx="27616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MX" sz="1100" b="0" i="0">
                  <a:latin typeface="Cambria Math" panose="02040503050406030204" pitchFamily="18" charset="0"/>
                </a:rPr>
                <a:t>𝑙𝑜𝑔</a:t>
              </a:r>
              <a:endParaRPr lang="es-CO" sz="1100"/>
            </a:p>
          </xdr:txBody>
        </xdr:sp>
      </mc:Fallback>
    </mc:AlternateContent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2C674EF-95B1-44C3-BF71-F546F47BA3D6}" autoFormatId="16" applyNumberFormats="0" applyBorderFormats="0" applyFontFormats="0" applyPatternFormats="0" applyAlignmentFormats="0" applyWidthHeightFormats="0">
  <queryTableRefresh nextId="7">
    <queryTableFields count="6">
      <queryTableField id="1" name="Año" tableColumnId="1"/>
      <queryTableField id="2" name="Dev 1" tableColumnId="2"/>
      <queryTableField id="3" name="Dev 2" tableColumnId="3"/>
      <queryTableField id="4" name="Dev 3" tableColumnId="4"/>
      <queryTableField id="5" name="Dev 4" tableColumnId="5"/>
      <queryTableField id="6" name="Dev 5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51DF2-5B13-43AA-A9C5-A9EB8FBABA2E}" name="datos_desarrollo" displayName="datos_desarrollo" ref="A1:F6" tableType="queryTable" totalsRowShown="0">
  <tableColumns count="6">
    <tableColumn id="1" xr3:uid="{FAF44869-F5F4-4B4C-8220-DF3AEC9ACF6C}" uniqueName="1" name="Año" queryTableFieldId="1"/>
    <tableColumn id="2" xr3:uid="{CDDAC73B-5123-4DEB-B6F5-CDFBBC7E5371}" uniqueName="2" name="Dev 1" queryTableFieldId="2"/>
    <tableColumn id="3" xr3:uid="{677408C8-CFF0-4508-A4F1-98E392F5514A}" uniqueName="3" name="Dev 2" queryTableFieldId="3" dataDxfId="3"/>
    <tableColumn id="4" xr3:uid="{95DB457B-80CC-42B7-982A-46513901F716}" uniqueName="4" name="Dev 3" queryTableFieldId="4" dataDxfId="2"/>
    <tableColumn id="5" xr3:uid="{27FA0085-A4CB-44C4-8B76-96B8872AE77E}" uniqueName="5" name="Dev 4" queryTableFieldId="5" dataDxfId="1"/>
    <tableColumn id="6" xr3:uid="{431B9B8B-473B-453E-A8AB-3E06109CE47F}" uniqueName="6" name="Dev 5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A57E-3A80-4756-8DB8-B3E1B8B9839F}">
  <dimension ref="A1:R22"/>
  <sheetViews>
    <sheetView tabSelected="1" workbookViewId="0">
      <selection activeCell="C14" sqref="C14"/>
    </sheetView>
  </sheetViews>
  <sheetFormatPr baseColWidth="10" defaultRowHeight="14.4" x14ac:dyDescent="0.3"/>
  <cols>
    <col min="1" max="1" width="5" bestFit="1" customWidth="1"/>
    <col min="2" max="2" width="6.5546875" bestFit="1" customWidth="1"/>
    <col min="3" max="5" width="5.5546875" bestFit="1" customWidth="1"/>
    <col min="6" max="6" width="5.5546875" customWidth="1"/>
    <col min="9" max="9" width="12.5546875" bestFit="1" customWidth="1"/>
    <col min="14" max="14" width="13.5546875" bestFit="1" customWidth="1"/>
    <col min="16" max="17" width="12.44140625" bestFit="1" customWidth="1"/>
    <col min="18" max="18" width="27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8" x14ac:dyDescent="0.3">
      <c r="A2">
        <v>2020</v>
      </c>
      <c r="B2" s="2">
        <v>1200</v>
      </c>
      <c r="C2" s="2">
        <v>1560</v>
      </c>
      <c r="D2" s="2">
        <v>1680</v>
      </c>
      <c r="E2" s="2">
        <v>1740</v>
      </c>
      <c r="F2" s="2">
        <v>1760</v>
      </c>
      <c r="I2" s="3">
        <f>datos_desarrollo[[#This Row],[Dev 2]]/datos_desarrollo[[#This Row],[Dev 1]]</f>
        <v>1.3</v>
      </c>
      <c r="J2" s="3">
        <f>datos_desarrollo[[#This Row],[Dev 3]]/datos_desarrollo[[#This Row],[Dev 2]]</f>
        <v>1.0769230769230769</v>
      </c>
      <c r="K2" s="3">
        <f>datos_desarrollo[[#This Row],[Dev 4]]/datos_desarrollo[[#This Row],[Dev 3]]</f>
        <v>1.0357142857142858</v>
      </c>
      <c r="L2" s="3">
        <f>datos_desarrollo[[#This Row],[Dev 5]]/datos_desarrollo[[#This Row],[Dev 4]]</f>
        <v>1.0114942528735633</v>
      </c>
    </row>
    <row r="3" spans="1:18" x14ac:dyDescent="0.3">
      <c r="A3">
        <v>2021</v>
      </c>
      <c r="B3" s="2">
        <v>1350</v>
      </c>
      <c r="C3" s="2">
        <v>1755</v>
      </c>
      <c r="D3" s="2">
        <v>1890</v>
      </c>
      <c r="E3" s="2">
        <v>1958</v>
      </c>
      <c r="F3" s="1" t="s">
        <v>6</v>
      </c>
      <c r="I3" s="3">
        <f>datos_desarrollo[[#This Row],[Dev 2]]/datos_desarrollo[[#This Row],[Dev 1]]</f>
        <v>1.3</v>
      </c>
      <c r="J3" s="3">
        <f>datos_desarrollo[[#This Row],[Dev 3]]/datos_desarrollo[[#This Row],[Dev 2]]</f>
        <v>1.0769230769230769</v>
      </c>
      <c r="K3" s="3">
        <f>datos_desarrollo[[#This Row],[Dev 4]]/datos_desarrollo[[#This Row],[Dev 3]]</f>
        <v>1.035978835978836</v>
      </c>
    </row>
    <row r="4" spans="1:18" x14ac:dyDescent="0.3">
      <c r="A4">
        <v>2022</v>
      </c>
      <c r="B4" s="2">
        <v>1500</v>
      </c>
      <c r="C4" s="2">
        <v>1950</v>
      </c>
      <c r="D4" s="2">
        <v>2100</v>
      </c>
      <c r="E4" s="1" t="s">
        <v>6</v>
      </c>
      <c r="F4" s="1" t="s">
        <v>6</v>
      </c>
      <c r="I4" s="3">
        <f>datos_desarrollo[[#This Row],[Dev 2]]/datos_desarrollo[[#This Row],[Dev 1]]</f>
        <v>1.3</v>
      </c>
      <c r="J4" s="3">
        <f>datos_desarrollo[[#This Row],[Dev 3]]/datos_desarrollo[[#This Row],[Dev 2]]</f>
        <v>1.0769230769230769</v>
      </c>
    </row>
    <row r="5" spans="1:18" x14ac:dyDescent="0.3">
      <c r="A5">
        <v>2023</v>
      </c>
      <c r="B5" s="2">
        <v>1650</v>
      </c>
      <c r="C5" s="2">
        <v>2145</v>
      </c>
      <c r="D5" s="1" t="s">
        <v>6</v>
      </c>
      <c r="E5" s="1" t="s">
        <v>6</v>
      </c>
      <c r="F5" s="1" t="s">
        <v>6</v>
      </c>
      <c r="I5" s="3">
        <f>datos_desarrollo[[#This Row],[Dev 2]]/datos_desarrollo[[#This Row],[Dev 1]]</f>
        <v>1.3</v>
      </c>
    </row>
    <row r="6" spans="1:18" x14ac:dyDescent="0.3">
      <c r="A6">
        <v>2024</v>
      </c>
      <c r="B6" s="2">
        <v>1800</v>
      </c>
      <c r="C6" s="1" t="s">
        <v>6</v>
      </c>
      <c r="D6" s="1" t="s">
        <v>6</v>
      </c>
      <c r="E6" s="1" t="s">
        <v>6</v>
      </c>
      <c r="F6" s="1" t="s">
        <v>6</v>
      </c>
    </row>
    <row r="8" spans="1:18" x14ac:dyDescent="0.3">
      <c r="H8" t="s">
        <v>7</v>
      </c>
      <c r="I8">
        <f>SUM(C2:C5)/SUM(B2:B5)</f>
        <v>1.3</v>
      </c>
      <c r="J8">
        <f>SUM(D2:D4)/SUM(C2:C4)</f>
        <v>1.0769230769230769</v>
      </c>
      <c r="K8">
        <f>SUM(E2:E3)/SUM(D2:D3)</f>
        <v>1.0358543417366948</v>
      </c>
      <c r="L8">
        <f>SUM(F2)/SUM(E2)</f>
        <v>1.0114942528735633</v>
      </c>
      <c r="M8">
        <v>1</v>
      </c>
      <c r="R8" t="s">
        <v>23</v>
      </c>
    </row>
    <row r="9" spans="1:18" x14ac:dyDescent="0.3">
      <c r="H9" t="s">
        <v>8</v>
      </c>
      <c r="I9">
        <f>I8*J9</f>
        <v>1.4668649988731128</v>
      </c>
      <c r="J9">
        <f>J8*K9</f>
        <v>1.128357691440856</v>
      </c>
      <c r="K9">
        <f>K8*L9</f>
        <v>1.0477607134807949</v>
      </c>
      <c r="L9">
        <f>M8*L8</f>
        <v>1.0114942528735633</v>
      </c>
      <c r="M9">
        <v>1</v>
      </c>
      <c r="N9" t="s">
        <v>13</v>
      </c>
      <c r="O9" t="s">
        <v>12</v>
      </c>
      <c r="P9" t="s">
        <v>11</v>
      </c>
      <c r="Q9" t="s">
        <v>14</v>
      </c>
      <c r="R9" t="s">
        <v>15</v>
      </c>
    </row>
    <row r="10" spans="1:18" x14ac:dyDescent="0.3">
      <c r="I10" s="8">
        <f>B2 * ( (C2/B2) - $I$8 )^2</f>
        <v>0</v>
      </c>
      <c r="J10" s="8">
        <f>C2 * ( (D2/C2) - $J$8 )^2</f>
        <v>0</v>
      </c>
      <c r="K10" s="8">
        <f>D2 * ( (E2/D2) - $K$8 )^2</f>
        <v>3.2954358213873552E-5</v>
      </c>
      <c r="L10" s="8">
        <f>E2 * ( (F2/E2) - $L$8 )^2</f>
        <v>0</v>
      </c>
      <c r="M10" s="8"/>
      <c r="N10" cm="1">
        <f t="array" ref="N10:N14">TRANSPOSE(I15:M15)</f>
        <v>1760</v>
      </c>
      <c r="O10" cm="1">
        <f t="array" ref="O10:O14">TRANSPOSE(I17:M17)</f>
        <v>0</v>
      </c>
      <c r="P10">
        <f>0</f>
        <v>0</v>
      </c>
      <c r="Q10">
        <f>SQRT(P10)</f>
        <v>0</v>
      </c>
      <c r="R10" s="12">
        <f>IFERROR(Q10/O10, 0)</f>
        <v>0</v>
      </c>
    </row>
    <row r="11" spans="1:18" x14ac:dyDescent="0.3">
      <c r="H11" s="9"/>
      <c r="I11" s="8">
        <f t="shared" ref="I11:I14" si="0">B3 * ( (C3/B3) - $I$8 )^2</f>
        <v>0</v>
      </c>
      <c r="J11" s="8">
        <f t="shared" ref="J11:J14" si="1">C3 * ( (D3/C3) - $J$8 )^2</f>
        <v>0</v>
      </c>
      <c r="K11" s="8">
        <f t="shared" ref="K11:K12" si="2">D3 * ( (E3/D3) - $K$8 )^2</f>
        <v>2.9292762856741657E-5</v>
      </c>
      <c r="L11" s="8"/>
      <c r="M11" s="8"/>
      <c r="N11">
        <v>1980.505747126437</v>
      </c>
      <c r="O11">
        <v>22.505747126436972</v>
      </c>
      <c r="P11">
        <f>(N11)^2 * (L$14 / L$8^2) * ( (1 / E3) + (1 / B$2) )</f>
        <v>0</v>
      </c>
      <c r="Q11">
        <f t="shared" ref="Q11:Q17" si="3">SQRT(P11)</f>
        <v>0</v>
      </c>
      <c r="R11" s="12">
        <f t="shared" ref="R11:R17" si="4">IFERROR(Q11/O11, 0)</f>
        <v>0</v>
      </c>
    </row>
    <row r="12" spans="1:18" x14ac:dyDescent="0.3">
      <c r="H12" s="9"/>
      <c r="I12" s="8">
        <f t="shared" si="0"/>
        <v>0</v>
      </c>
      <c r="J12" s="8">
        <f t="shared" si="1"/>
        <v>0</v>
      </c>
      <c r="K12" s="7"/>
      <c r="L12" s="8"/>
      <c r="M12" s="8"/>
      <c r="N12">
        <v>2200.2974983096692</v>
      </c>
      <c r="O12">
        <v>100.29749830966921</v>
      </c>
      <c r="P12">
        <f>N12^2 * ( (K$14 / K$8^2) * ( (1 / D4) + (1 / (B$2+B$3)) ) + (L$14 / L$8^2) * ( (1 / (D4*K$8)) + (1 / B$2) ) )</f>
        <v>0.24388111750454222</v>
      </c>
      <c r="Q12">
        <f t="shared" si="3"/>
        <v>0.49384321145940868</v>
      </c>
      <c r="R12" s="12">
        <f t="shared" si="4"/>
        <v>4.9237839405990406E-3</v>
      </c>
    </row>
    <row r="13" spans="1:18" x14ac:dyDescent="0.3">
      <c r="H13" s="9"/>
      <c r="I13" s="8">
        <f t="shared" si="0"/>
        <v>0</v>
      </c>
      <c r="J13" s="7"/>
      <c r="K13" s="8"/>
      <c r="L13" s="8"/>
      <c r="M13" s="8"/>
      <c r="N13">
        <v>2420.3272481406361</v>
      </c>
      <c r="O13">
        <v>275.32724814063613</v>
      </c>
      <c r="P13">
        <f>N13^2 * ( (K$14 / K$8^2) * ( (1 / (C5*J$8)) + (1 / (B$2+B$3)) ) + (L$14 / L$8^2) * ( (1 / (C5*J$8*K$8)) + (1 / B$2) ) )</f>
        <v>0.28038461380199631</v>
      </c>
      <c r="Q13">
        <f t="shared" si="3"/>
        <v>0.52951356337868849</v>
      </c>
      <c r="R13" s="12">
        <f t="shared" si="4"/>
        <v>1.9232152536831915E-3</v>
      </c>
    </row>
    <row r="14" spans="1:18" x14ac:dyDescent="0.3">
      <c r="H14" s="10"/>
      <c r="I14" s="11">
        <f>SUM(I10:I13)/3</f>
        <v>0</v>
      </c>
      <c r="J14" s="11">
        <f>SUM(J10:J12)/2</f>
        <v>0</v>
      </c>
      <c r="K14" s="11">
        <f>SUM(K10:K11)/1</f>
        <v>6.2247121070615205E-5</v>
      </c>
      <c r="L14" s="11">
        <v>0</v>
      </c>
      <c r="M14" s="11"/>
      <c r="N14">
        <v>2640.3569979716031</v>
      </c>
      <c r="O14">
        <v>840.35699797160305</v>
      </c>
      <c r="P14">
        <f>N14^2 * ( (K$14 / K$8^2) * ( (1 / (B6*I$8*J$8)) + (1 / (B$2+B$3)) ) + (L$14 / L$8^2) * ( (1 / (B6*I$8*J$8*K$8)) + (1 / B$2) ) )</f>
        <v>0.31909090728981393</v>
      </c>
      <c r="Q14">
        <f t="shared" si="3"/>
        <v>0.56488132142053871</v>
      </c>
      <c r="R14" s="12">
        <f t="shared" si="4"/>
        <v>6.7219208358353783E-4</v>
      </c>
    </row>
    <row r="15" spans="1:18" x14ac:dyDescent="0.3">
      <c r="H15" t="s">
        <v>16</v>
      </c>
      <c r="I15">
        <f>F2*M9</f>
        <v>1760</v>
      </c>
      <c r="J15">
        <f>E3*L9</f>
        <v>1980.505747126437</v>
      </c>
      <c r="K15">
        <f>D4*K9</f>
        <v>2200.2974983096692</v>
      </c>
      <c r="L15">
        <f>C5*J9</f>
        <v>2420.3272481406361</v>
      </c>
      <c r="M15">
        <f>B6*I9</f>
        <v>2640.3569979716031</v>
      </c>
      <c r="N15" s="13">
        <f>SUM(_xlfn.ANCHORARRAY(N10))</f>
        <v>11001.487491548345</v>
      </c>
      <c r="O15" s="13">
        <f>SUM(_xlfn.ANCHORARRAY(O10))</f>
        <v>1238.4874915483454</v>
      </c>
      <c r="P15">
        <f>SUM(P10:P14) + 2*( (N12*N11*(L14/(L8^2*B2))) + (N13*N11*(L14/(L8^2*B2))) + (N14*N11*(L14/(L8^2*B2))) + (N13*N12*( (K14/(K8^2*(B2+B3))) + (L14/(L8^2*B2)) )) + (N14*N12*( (K14/(K8^2*(B2+B3))) + (L14/(L8^2*B2)) )) + (N14*N13*( (K14/(K8^2*(B2+B3))) + (L14/(L8^2*B2)) )) )</f>
        <v>1.6407692215079783</v>
      </c>
      <c r="Q15" s="14">
        <f>SQRT(P15)</f>
        <v>1.2809251428198207</v>
      </c>
      <c r="R15" s="12">
        <f t="shared" si="4"/>
        <v>1.0342657084234418E-3</v>
      </c>
    </row>
    <row r="16" spans="1:18" x14ac:dyDescent="0.3">
      <c r="H16" t="s">
        <v>17</v>
      </c>
      <c r="I16" s="4">
        <v>1760</v>
      </c>
      <c r="J16" s="5">
        <v>1958</v>
      </c>
      <c r="K16" s="6">
        <v>2100</v>
      </c>
      <c r="L16" s="5">
        <v>2145</v>
      </c>
      <c r="M16" s="6">
        <v>1800</v>
      </c>
      <c r="R16" s="17"/>
    </row>
    <row r="17" spans="8:18" x14ac:dyDescent="0.3">
      <c r="H17" t="s">
        <v>9</v>
      </c>
      <c r="I17" s="2">
        <f>I15-I16</f>
        <v>0</v>
      </c>
      <c r="J17" s="2">
        <f t="shared" ref="J17:M17" si="5">J15-J16</f>
        <v>22.505747126436972</v>
      </c>
      <c r="K17" s="2">
        <f t="shared" si="5"/>
        <v>100.29749830966921</v>
      </c>
      <c r="L17" s="2">
        <f t="shared" si="5"/>
        <v>275.32724814063613</v>
      </c>
      <c r="M17" s="2">
        <f t="shared" si="5"/>
        <v>840.35699797160305</v>
      </c>
      <c r="Q17">
        <f>SQRT(LN(1+(Q15/O15)^2))</f>
        <v>1.0342654318670123E-3</v>
      </c>
      <c r="R17" t="s">
        <v>21</v>
      </c>
    </row>
    <row r="18" spans="8:18" x14ac:dyDescent="0.3">
      <c r="H18" t="s">
        <v>10</v>
      </c>
      <c r="I18" s="16">
        <f>SUM(I17:M17)</f>
        <v>1238.4874915483454</v>
      </c>
      <c r="P18" s="15"/>
      <c r="Q18">
        <f>LN(O15-0.5*Q17)</f>
        <v>7.1216457316481323</v>
      </c>
      <c r="R18" t="s">
        <v>22</v>
      </c>
    </row>
    <row r="20" spans="8:18" x14ac:dyDescent="0.3">
      <c r="P20" t="s">
        <v>20</v>
      </c>
    </row>
    <row r="21" spans="8:18" x14ac:dyDescent="0.3">
      <c r="P21" t="s">
        <v>18</v>
      </c>
      <c r="Q21">
        <f>EXP(Q18-1.96*Q17)</f>
        <v>1235.9789058426727</v>
      </c>
    </row>
    <row r="22" spans="8:18" x14ac:dyDescent="0.3">
      <c r="P22" t="s">
        <v>19</v>
      </c>
      <c r="Q22">
        <f>EXP(Q18+1.96*Q17)</f>
        <v>1241.000132402278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3246A8-E1B4-4F31-8D48-0BB80F8B66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datos_desarrollo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2026-09-22T21:20:19Z</dcterms:created>
  <dcterms:modified xsi:type="dcterms:W3CDTF">2026-09-25T15:15:48Z</dcterms:modified>
</cp:coreProperties>
</file>