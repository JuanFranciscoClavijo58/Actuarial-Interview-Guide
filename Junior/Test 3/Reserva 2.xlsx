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351E992-3388-4566-A567-FB00EB1D0C5A}" xr6:coauthVersionLast="47" xr6:coauthVersionMax="47" xr10:uidLastSave="{00000000-0000-0000-0000-000000000000}"/>
  <bookViews>
    <workbookView xWindow="-108" yWindow="-108" windowWidth="23256" windowHeight="12456" xr2:uid="{EA1036EA-12D9-435F-B3E5-2590CF593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I30" i="1"/>
  <c r="K30" i="1"/>
  <c r="K29" i="1"/>
  <c r="K28" i="1"/>
  <c r="K31" i="1" s="1"/>
  <c r="D32" i="1"/>
  <c r="D30" i="1"/>
  <c r="D29" i="1"/>
  <c r="E16" i="1"/>
  <c r="F16" i="1"/>
  <c r="K20" i="1"/>
  <c r="K21" i="1"/>
  <c r="K19" i="1"/>
  <c r="K22" i="1" s="1"/>
  <c r="G21" i="1"/>
  <c r="F21" i="1"/>
  <c r="G20" i="1"/>
  <c r="E15" i="1"/>
  <c r="F15" i="1"/>
  <c r="E12" i="1"/>
  <c r="F11" i="1"/>
  <c r="E11" i="1"/>
</calcChain>
</file>

<file path=xl/sharedStrings.xml><?xml version="1.0" encoding="utf-8"?>
<sst xmlns="http://schemas.openxmlformats.org/spreadsheetml/2006/main" count="26" uniqueCount="17">
  <si>
    <t>Año de siniestro</t>
  </si>
  <si>
    <t>Desarrollo 1</t>
  </si>
  <si>
    <t>Desarrollo 2</t>
  </si>
  <si>
    <t>Desarrollo 3 (ult.)</t>
  </si>
  <si>
    <t>—</t>
  </si>
  <si>
    <t xml:space="preserve">Volumen </t>
  </si>
  <si>
    <t>Ultimate</t>
  </si>
  <si>
    <t>Diagonal</t>
  </si>
  <si>
    <t>IBNR</t>
  </si>
  <si>
    <t>Ultimate BF</t>
  </si>
  <si>
    <t>Pagado +A priori Ultimate*1-1/CDF</t>
  </si>
  <si>
    <t>CDF</t>
  </si>
  <si>
    <t>T. FACTORES</t>
  </si>
  <si>
    <t>%por desarrollar</t>
  </si>
  <si>
    <t>% desarrollado</t>
  </si>
  <si>
    <t>Ultiamte BF</t>
  </si>
  <si>
    <t>Diff Metodos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</si>
</sst>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6"/>
      <name val="Arial"/>
      <family val="2"/>
    </font>
    <font>
      <sz val="6"/>
      <name val="Arial"/>
      <family val="2"/>
    </font>
    <font>
      <sz val="8"/>
      <name val="Courier New"/>
      <family val="3"/>
    </font>
    <font>
      <sz val="8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25365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right" vertical="center" wrapText="1" indent="2"/>
    </xf>
    <xf numFmtId="0" fontId="3" fillId="0" borderId="1" xfId="0" applyFont="1" applyBorder="1" applyAlignment="1">
      <alignment horizontal="left" vertical="center" wrapText="1" indent="2"/>
    </xf>
    <xf numFmtId="0" fontId="4" fillId="0" borderId="1" xfId="0" applyFont="1" applyBorder="1" applyAlignment="1">
      <alignment horizontal="right" vertical="center" wrapText="1" indent="2"/>
    </xf>
    <xf numFmtId="3" fontId="4" fillId="0" borderId="1" xfId="0" applyNumberFormat="1" applyFont="1" applyBorder="1" applyAlignment="1">
      <alignment horizontal="right" vertical="center" wrapText="1" indent="2"/>
    </xf>
    <xf numFmtId="0" fontId="3" fillId="2" borderId="0" xfId="0" applyFont="1" applyFill="1" applyAlignment="1">
      <alignment horizontal="left" vertical="center" wrapText="1" indent="2"/>
    </xf>
    <xf numFmtId="3" fontId="4" fillId="2" borderId="0" xfId="0" applyNumberFormat="1" applyFont="1" applyFill="1" applyAlignment="1">
      <alignment horizontal="right" vertical="center" wrapText="1" indent="2"/>
    </xf>
    <xf numFmtId="0" fontId="4" fillId="2" borderId="0" xfId="0" applyFont="1" applyFill="1" applyAlignment="1">
      <alignment horizontal="right" vertical="center" wrapText="1" indent="2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67F7-10C4-4815-B368-402A650213A7}">
  <dimension ref="C4:K33"/>
  <sheetViews>
    <sheetView tabSelected="1" topLeftCell="A8" zoomScale="90" zoomScaleNormal="90" workbookViewId="0">
      <selection activeCell="C34" sqref="C34"/>
    </sheetView>
  </sheetViews>
  <sheetFormatPr baseColWidth="10" defaultRowHeight="14.4" x14ac:dyDescent="0.3"/>
  <cols>
    <col min="3" max="3" width="14.88671875" bestFit="1" customWidth="1"/>
  </cols>
  <sheetData>
    <row r="4" spans="4:7" ht="16.2" thickBot="1" x14ac:dyDescent="0.35">
      <c r="D4" s="1" t="s">
        <v>0</v>
      </c>
      <c r="E4" s="2" t="s">
        <v>1</v>
      </c>
      <c r="F4" s="2" t="s">
        <v>2</v>
      </c>
      <c r="G4" s="2" t="s">
        <v>3</v>
      </c>
    </row>
    <row r="5" spans="4:7" ht="15" thickBot="1" x14ac:dyDescent="0.35">
      <c r="D5" s="3">
        <v>2022</v>
      </c>
      <c r="E5" s="4">
        <v>800</v>
      </c>
      <c r="F5" s="5">
        <v>1100</v>
      </c>
      <c r="G5" s="5">
        <v>1240</v>
      </c>
    </row>
    <row r="6" spans="4:7" ht="15" thickBot="1" x14ac:dyDescent="0.35">
      <c r="D6" s="3">
        <v>2023</v>
      </c>
      <c r="E6" s="4">
        <v>920</v>
      </c>
      <c r="F6" s="5">
        <v>1265</v>
      </c>
      <c r="G6" s="4" t="s">
        <v>4</v>
      </c>
    </row>
    <row r="7" spans="4:7" x14ac:dyDescent="0.3">
      <c r="D7" s="6">
        <v>2024</v>
      </c>
      <c r="E7" s="7">
        <v>1050</v>
      </c>
      <c r="F7" s="8" t="s">
        <v>4</v>
      </c>
      <c r="G7" s="8" t="s">
        <v>4</v>
      </c>
    </row>
    <row r="10" spans="4:7" x14ac:dyDescent="0.3">
      <c r="D10" t="s">
        <v>12</v>
      </c>
    </row>
    <row r="11" spans="4:7" x14ac:dyDescent="0.3">
      <c r="E11">
        <f>F5/E5</f>
        <v>1.375</v>
      </c>
      <c r="F11">
        <f>G5/F5</f>
        <v>1.1272727272727272</v>
      </c>
    </row>
    <row r="12" spans="4:7" x14ac:dyDescent="0.3">
      <c r="E12">
        <f t="shared" ref="E12:E13" si="0">F6/E6</f>
        <v>1.375</v>
      </c>
    </row>
    <row r="15" spans="4:7" x14ac:dyDescent="0.3">
      <c r="D15" t="s">
        <v>5</v>
      </c>
      <c r="E15">
        <f>SUM(F5:F6)/SUM(E5:E6)</f>
        <v>1.375</v>
      </c>
      <c r="F15">
        <f>G5/F5</f>
        <v>1.1272727272727272</v>
      </c>
      <c r="G15">
        <v>1</v>
      </c>
    </row>
    <row r="16" spans="4:7" x14ac:dyDescent="0.3">
      <c r="D16" t="s">
        <v>11</v>
      </c>
      <c r="E16">
        <f>E15*F16</f>
        <v>1.5499999999999998</v>
      </c>
      <c r="F16">
        <f>F15*G15</f>
        <v>1.1272727272727272</v>
      </c>
    </row>
    <row r="18" spans="3:11" ht="16.2" thickBot="1" x14ac:dyDescent="0.35">
      <c r="D18" s="1" t="s">
        <v>0</v>
      </c>
      <c r="E18" s="2" t="s">
        <v>1</v>
      </c>
      <c r="F18" s="2" t="s">
        <v>2</v>
      </c>
      <c r="G18" s="2" t="s">
        <v>3</v>
      </c>
      <c r="I18" t="s">
        <v>6</v>
      </c>
      <c r="J18" t="s">
        <v>7</v>
      </c>
      <c r="K18" t="s">
        <v>8</v>
      </c>
    </row>
    <row r="19" spans="3:11" ht="15" thickBot="1" x14ac:dyDescent="0.35">
      <c r="D19" s="3">
        <v>2022</v>
      </c>
      <c r="E19" s="4">
        <v>800</v>
      </c>
      <c r="F19" s="5">
        <v>1100</v>
      </c>
      <c r="G19" s="5">
        <v>1240</v>
      </c>
      <c r="I19">
        <v>1240</v>
      </c>
      <c r="J19">
        <v>1240</v>
      </c>
      <c r="K19">
        <f>I19-J19</f>
        <v>0</v>
      </c>
    </row>
    <row r="20" spans="3:11" ht="15" thickBot="1" x14ac:dyDescent="0.35">
      <c r="D20" s="3">
        <v>2023</v>
      </c>
      <c r="E20" s="4">
        <v>920</v>
      </c>
      <c r="F20" s="5">
        <v>1265</v>
      </c>
      <c r="G20" s="4">
        <f>F20*F15</f>
        <v>1426</v>
      </c>
      <c r="I20">
        <v>1426</v>
      </c>
      <c r="J20">
        <v>1265</v>
      </c>
      <c r="K20">
        <f t="shared" ref="K20:K21" si="1">I20-J20</f>
        <v>161</v>
      </c>
    </row>
    <row r="21" spans="3:11" x14ac:dyDescent="0.3">
      <c r="D21" s="6">
        <v>2024</v>
      </c>
      <c r="E21" s="7">
        <v>1050</v>
      </c>
      <c r="F21" s="8">
        <f>E21*E15</f>
        <v>1443.75</v>
      </c>
      <c r="G21" s="8">
        <f>F21*F15</f>
        <v>1627.5</v>
      </c>
      <c r="I21">
        <v>1627.5</v>
      </c>
      <c r="J21">
        <v>1050</v>
      </c>
      <c r="K21">
        <f t="shared" si="1"/>
        <v>577.5</v>
      </c>
    </row>
    <row r="22" spans="3:11" x14ac:dyDescent="0.3">
      <c r="K22">
        <f>SUM(K19:K21)</f>
        <v>738.5</v>
      </c>
    </row>
    <row r="26" spans="3:11" x14ac:dyDescent="0.3">
      <c r="D26" t="s">
        <v>9</v>
      </c>
    </row>
    <row r="27" spans="3:11" x14ac:dyDescent="0.3">
      <c r="D27" t="s">
        <v>10</v>
      </c>
      <c r="I27" t="s">
        <v>6</v>
      </c>
      <c r="J27" t="s">
        <v>7</v>
      </c>
      <c r="K27" t="s">
        <v>8</v>
      </c>
    </row>
    <row r="28" spans="3:11" ht="15" thickBot="1" x14ac:dyDescent="0.35">
      <c r="H28" s="3">
        <v>2022</v>
      </c>
      <c r="I28">
        <v>1240</v>
      </c>
      <c r="J28">
        <v>1240</v>
      </c>
      <c r="K28">
        <f>I28-J28</f>
        <v>0</v>
      </c>
    </row>
    <row r="29" spans="3:11" ht="15" thickBot="1" x14ac:dyDescent="0.35">
      <c r="C29" t="s">
        <v>13</v>
      </c>
      <c r="D29">
        <f>1-(1/E16)</f>
        <v>0.35483870967741926</v>
      </c>
      <c r="H29" s="3">
        <v>2023</v>
      </c>
      <c r="I29">
        <v>1426</v>
      </c>
      <c r="J29">
        <v>1265</v>
      </c>
      <c r="K29">
        <f t="shared" ref="K29:K30" si="2">I29-J29</f>
        <v>161</v>
      </c>
    </row>
    <row r="30" spans="3:11" x14ac:dyDescent="0.3">
      <c r="C30" t="s">
        <v>14</v>
      </c>
      <c r="D30">
        <f>1-D29</f>
        <v>0.64516129032258074</v>
      </c>
      <c r="H30" s="6">
        <v>2024</v>
      </c>
      <c r="I30">
        <f>D32</f>
        <v>1610.6451612903224</v>
      </c>
      <c r="J30">
        <v>1050</v>
      </c>
      <c r="K30">
        <f t="shared" si="2"/>
        <v>560.64516129032245</v>
      </c>
    </row>
    <row r="31" spans="3:11" x14ac:dyDescent="0.3">
      <c r="K31">
        <f>SUM(K28:K30)</f>
        <v>721.64516129032245</v>
      </c>
    </row>
    <row r="32" spans="3:11" x14ac:dyDescent="0.3">
      <c r="C32" t="s">
        <v>15</v>
      </c>
      <c r="D32" s="9">
        <f>1050 +1580*D29</f>
        <v>1610.6451612903224</v>
      </c>
    </row>
    <row r="33" spans="3:4" x14ac:dyDescent="0.3">
      <c r="C33" t="s">
        <v>16</v>
      </c>
      <c r="D33">
        <f>K21-K30</f>
        <v>16.854838709677551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2026-09-11T18:45:45Z</dcterms:created>
  <dcterms:modified xsi:type="dcterms:W3CDTF">2026-09-11T22:47:49Z</dcterms:modified>
</cp:coreProperties>
</file>